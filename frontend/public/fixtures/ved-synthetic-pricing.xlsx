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9ab26c159e42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ient prices" sheetId="1" r:id="R0b6a2495f8eb4dbe"/>
    <x:sheet xmlns:r="http://schemas.openxmlformats.org/officeDocument/2006/relationships" name="Expected results" sheetId="2" r:id="R730ee54c43ae416b"/>
    <x:sheet xmlns:r="http://schemas.openxmlformats.org/officeDocument/2006/relationships" name="Read me" sheetId="3" r:id="Rdf13dddb443845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;(#,##0.00);&quot;—&quot;"/>
    <x:numFmt numFmtId="201" formatCode="#,##0.00"/>
  </x:numFmts>
  <x:fonts count="7">
    <x:font>
      <x:sz val="11"/>
      <x:name val="Carlito"/>
    </x:font>
    <x:font>
      <x:sz val="11"/>
      <x:name val="Aptos"/>
    </x:font>
    <x:font>
      <x:sz val="11"/>
      <x:color rgb="FFE6EAF0"/>
      <x:name val="Aptos"/>
    </x:font>
    <x:font>
      <x:b/>
      <x:sz val="11"/>
      <x:color rgb="FFE6EAF0"/>
      <x:name val="Aptos"/>
    </x:font>
    <x:font>
      <x:sz val="11"/>
      <x:color rgb="FFE6EAF0"/>
      <x:name val="Carlito"/>
    </x:font>
    <x:font>
      <x:b/>
      <x:sz val="11"/>
      <x:color rgb="FFE6EAF0"/>
      <x:name val="Carlito"/>
    </x:font>
    <x:font>
      <x:b/>
      <x:sz val="11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51C25"/>
      </x:patternFill>
    </x:fill>
    <x:fill>
      <x:patternFill patternType="solid">
        <x:fgColor rgb="FFFF7A45"/>
      </x:patternFill>
    </x:fill>
    <x:fill>
      <x:patternFill patternType="solid">
        <x:fgColor rgb="FFFFF0E8"/>
      </x:patternFill>
    </x:fill>
    <x:fill>
      <x:patternFill patternType="solid">
        <x:fgColor rgb="FFE6EAF0"/>
      </x:patternFill>
    </x:fill>
    <x:fill>
      <x:patternFill patternType="solid">
        <x:fgColor rgb="FFE6EAF0"/>
      </x:patternFill>
    </x:fill>
    <x:fill>
      <x:patternFill patternType="solid">
        <x:fgColor rgb="FFFFF0E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6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6" fillId="7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c14e354677444e" /><Relationship Type="http://schemas.openxmlformats.org/officeDocument/2006/relationships/theme" Target="/xl/theme/theme1.xml" Id="R747d9c0f059f4972" /><Relationship Type="http://schemas.openxmlformats.org/officeDocument/2006/relationships/sharedStrings" Target="/xl/sharedStrings.xml" Id="R55bb8e4cb8444241" /><Relationship Type="http://schemas.openxmlformats.org/officeDocument/2006/relationships/worksheet" Target="/xl/worksheets/sheet1.xml" Id="R0b6a2495f8eb4dbe" /><Relationship Type="http://schemas.openxmlformats.org/officeDocument/2006/relationships/worksheet" Target="/xl/worksheets/sheet2.xml" Id="R730ee54c43ae416b" /><Relationship Type="http://schemas.openxmlformats.org/officeDocument/2006/relationships/worksheet" Target="/xl/worksheets/sheet3.xml" Id="Rdf13dddb443845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4" hidden="0" customWidth="1"/>
    <x:col min="2" max="2" width="33" hidden="0" customWidth="1"/>
    <x:col min="3" max="3" width="3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5" hidden="0" customWidth="1"/>
  </x:cols>
  <x:sheetData>
    <x:row r="1" ht="36" customHeight="1">
      <x:c r="A1" s="6" t="str">
        <x:v>SYNTHETIC TESTING ONLY — fictional brands and prices</x:v>
      </x:c>
      <x:c r="B1" s="6"/>
      <x:c r="C1" s="6"/>
      <x:c r="D1" s="6"/>
      <x:c r="E1" s="6"/>
      <x:c r="F1" s="6"/>
      <x:c r="G1" s="6"/>
      <x:c r="H1" s="6"/>
      <x:c r="I1" s="6"/>
    </x:row>
    <x:row r="2" ht="36" customHeight="1">
      <x:c r="A2" s="3" t="str">
        <x:v>Synthetic testing only. Upload applies compatible prices automatically. Quantities remain calculated by VED.</x:v>
      </x:c>
      <x:c r="B2" s="3"/>
      <x:c r="C2" s="3"/>
      <x:c r="D2" s="3"/>
      <x:c r="E2" s="3"/>
      <x:c r="F2" s="3"/>
      <x:c r="G2" s="3"/>
      <x:c r="H2" s="3"/>
      <x:c r="I2" s="3"/>
    </x:row>
    <x:row r="3" ht="36" customHeight="1">
      <x:c r="A3" s="11" t="str">
        <x:v>Code</x:v>
      </x:c>
      <x:c r="B3" s="11" t="str">
        <x:v>Description</x:v>
      </x:c>
      <x:c r="C3" s="11" t="str">
        <x:v>Specification</x:v>
      </x:c>
      <x:c r="D3" s="11" t="str">
        <x:v>Purchase unit</x:v>
      </x:c>
      <x:c r="E3" s="11" t="str">
        <x:v>Unit price</x:v>
      </x:c>
      <x:c r="F3" s="11" t="str">
        <x:v>Currency</x:v>
      </x:c>
      <x:c r="G3" s="11" t="str">
        <x:v>Quantity</x:v>
      </x:c>
      <x:c r="H3" s="11" t="str">
        <x:v>Units per purchase</x:v>
      </x:c>
      <x:c r="I3" s="11" t="str">
        <x:v>Validation note</x:v>
      </x:c>
    </x:row>
    <x:row r="4" ht="36" customHeight="1">
      <x:c r="A4" s="3" t="str">
        <x:v>DV-OUTLET-FABLE</x:v>
      </x:c>
      <x:c r="B4" s="3" t="str">
        <x:v>FableVolt Duplex outlet 16 A</x:v>
      </x:c>
      <x:c r="C4" s="3" t="str">
        <x:v>16 A duplex</x:v>
      </x:c>
      <x:c r="D4" s="3" t="str">
        <x:v>piece</x:v>
      </x:c>
      <x:c r="E4" s="13" t="n">
        <x:v>90</x:v>
      </x:c>
      <x:c r="F4" s="3" t="str">
        <x:v>PHP</x:v>
      </x:c>
      <x:c r="G4" s="3" t="n">
        <x:v>999</x:v>
      </x:c>
      <x:c r="H4" s="3" t="n">
        <x:v>1</x:v>
      </x:c>
      <x:c r="I4" s="3" t="str">
        <x:v>Valid</x:v>
      </x:c>
    </x:row>
    <x:row r="5" ht="36" customHeight="1">
      <x:c r="A5" s="3" t="str">
        <x:v>DV-SWITCH-FABLE</x:v>
      </x:c>
      <x:c r="B5" s="3" t="str">
        <x:v>FableVolt switch 1 gang</x:v>
      </x:c>
      <x:c r="C5" s="3" t="str">
        <x:v>1 gang</x:v>
      </x:c>
      <x:c r="D5" s="3" t="str">
        <x:v>piece</x:v>
      </x:c>
      <x:c r="E5" s="13" t="n">
        <x:v>60</x:v>
      </x:c>
      <x:c r="F5" s="3" t="str">
        <x:v>PHP</x:v>
      </x:c>
      <x:c r="G5" s="3" t="n">
        <x:v>999</x:v>
      </x:c>
      <x:c r="H5" s="3" t="n">
        <x:v>1</x:v>
      </x:c>
      <x:c r="I5" s="3" t="str">
        <x:v>Valid</x:v>
      </x:c>
    </x:row>
    <x:row r="6" ht="36" customHeight="1">
      <x:c r="A6" s="3" t="str">
        <x:v>WR-THHN-35</x:v>
      </x:c>
      <x:c r="B6" s="3" t="str">
        <x:v>FableVolt THHN wire 3.5 mm2</x:v>
      </x:c>
      <x:c r="C6" s="3" t="str">
        <x:v>3.5 mm2 THHN</x:v>
      </x:c>
      <x:c r="D6" s="3" t="str">
        <x:v>meter</x:v>
      </x:c>
      <x:c r="E6" s="13" t="n">
        <x:v>12</x:v>
      </x:c>
      <x:c r="F6" s="3" t="str">
        <x:v>PHP</x:v>
      </x:c>
      <x:c r="G6" s="3" t="n">
        <x:v>999</x:v>
      </x:c>
      <x:c r="H6" s="3" t="n">
        <x:v>1</x:v>
      </x:c>
      <x:c r="I6" s="3" t="str">
        <x:v>Valid</x:v>
      </x:c>
    </x:row>
    <x:row r="7" ht="36" customHeight="1">
      <x:c r="A7" s="3" t="str">
        <x:v>WR-CABLE-100</x:v>
      </x:c>
      <x:c r="B7" s="3" t="str">
        <x:v>FableVolt cable 2C 2.5 mm2</x:v>
      </x:c>
      <x:c r="C7" s="3" t="str">
        <x:v>2C 2.5 mm2</x:v>
      </x:c>
      <x:c r="D7" s="3" t="str">
        <x:v>roll</x:v>
      </x:c>
      <x:c r="E7" s="13" t="n">
        <x:v>1200</x:v>
      </x:c>
      <x:c r="F7" s="3" t="str">
        <x:v>PHP</x:v>
      </x:c>
      <x:c r="G7" s="3" t="n">
        <x:v>999</x:v>
      </x:c>
      <x:c r="H7" s="3" t="n">
        <x:v>100</x:v>
      </x:c>
      <x:c r="I7" s="3" t="str">
        <x:v>Explicit 100 metres per roll</x:v>
      </x:c>
    </x:row>
    <x:row r="8" ht="36" customHeight="1">
      <x:c r="A8" s="3" t="str">
        <x:v>CD-PVC-20</x:v>
      </x:c>
      <x:c r="B8" s="3" t="str">
        <x:v>NimblePipe PVC conduit 20 mm</x:v>
      </x:c>
      <x:c r="C8" s="3" t="str">
        <x:v>PVC 20 mm</x:v>
      </x:c>
      <x:c r="D8" s="3" t="str">
        <x:v>meter</x:v>
      </x:c>
      <x:c r="E8" s="13" t="n">
        <x:v>25</x:v>
      </x:c>
      <x:c r="F8" s="3" t="str">
        <x:v>PHP</x:v>
      </x:c>
      <x:c r="G8" s="3" t="n">
        <x:v>999</x:v>
      </x:c>
      <x:c r="H8" s="3" t="n">
        <x:v>1</x:v>
      </x:c>
      <x:c r="I8" s="3" t="str">
        <x:v>Valid</x:v>
      </x:c>
    </x:row>
    <x:row r="9" ht="36" customHeight="1">
      <x:c r="A9" s="3" t="str">
        <x:v>CD-EMT-20</x:v>
      </x:c>
      <x:c r="B9" s="3" t="str">
        <x:v>NimblePipe EMT conduit 20 mm</x:v>
      </x:c>
      <x:c r="C9" s="3" t="str">
        <x:v>EMT 20 mm</x:v>
      </x:c>
      <x:c r="D9" s="3" t="str">
        <x:v>length</x:v>
      </x:c>
      <x:c r="E9" s="13" t="n">
        <x:v>75</x:v>
      </x:c>
      <x:c r="F9" s="3" t="str">
        <x:v>PHP</x:v>
      </x:c>
      <x:c r="G9" s="3" t="n">
        <x:v>999</x:v>
      </x:c>
      <x:c r="H9" s="3" t="n">
        <x:v>3</x:v>
      </x:c>
      <x:c r="I9" s="3" t="str">
        <x:v>Explicit 3 metres per stock length</x:v>
      </x:c>
    </x:row>
    <x:row r="10" ht="36" customHeight="1">
      <x:c r="A10" s="12" t="str">
        <x:v>DV-OUTLET-FABLE</x:v>
      </x:c>
      <x:c r="B10" s="12" t="str">
        <x:v>Duplicate outlet quote</x:v>
      </x:c>
      <x:c r="C10" s="12" t="str">
        <x:v>16 A</x:v>
      </x:c>
      <x:c r="D10" s="12" t="str">
        <x:v>piece</x:v>
      </x:c>
      <x:c r="E10" s="14" t="n">
        <x:v>95</x:v>
      </x:c>
      <x:c r="F10" s="12" t="str">
        <x:v>PHP</x:v>
      </x:c>
      <x:c r="G10" s="12" t="n">
        <x:v>999</x:v>
      </x:c>
      <x:c r="H10" s="12" t="n">
        <x:v>1</x:v>
      </x:c>
      <x:c r="I10" s="12" t="str">
        <x:v>Exclude duplicate before importing</x:v>
      </x:c>
    </x:row>
    <x:row r="11" ht="36" customHeight="1">
      <x:c r="A11" s="12" t="str">
        <x:v>MISSING-PRICE</x:v>
      </x:c>
      <x:c r="B11" s="12" t="str">
        <x:v>Missing outlet price</x:v>
      </x:c>
      <x:c r="C11" s="12" t="str">
        <x:v>16 A</x:v>
      </x:c>
      <x:c r="D11" s="12" t="str">
        <x:v>piece</x:v>
      </x:c>
      <x:c r="E11" s="14"/>
      <x:c r="F11" s="12" t="str">
        <x:v>PHP</x:v>
      </x:c>
      <x:c r="G11" s="12" t="n">
        <x:v>999</x:v>
      </x:c>
      <x:c r="H11" s="12" t="n">
        <x:v>1</x:v>
      </x:c>
      <x:c r="I11" s="12" t="str">
        <x:v>Exclude: no price, not zero</x:v>
      </x:c>
    </x:row>
    <x:row r="12" ht="36" customHeight="1">
      <x:c r="A12" s="12" t="str"/>
      <x:c r="B12" s="12" t="str">
        <x:v>Ambiguous switch</x:v>
      </x:c>
      <x:c r="C12" s="12" t="str">
        <x:v>1 gang</x:v>
      </x:c>
      <x:c r="D12" s="12" t="str">
        <x:v>piece</x:v>
      </x:c>
      <x:c r="E12" s="14"/>
      <x:c r="F12" s="12" t="str">
        <x:v>PHP</x:v>
      </x:c>
      <x:c r="G12" s="12" t="n">
        <x:v>999</x:v>
      </x:c>
      <x:c r="H12" s="12" t="n">
        <x:v>1</x:v>
      </x:c>
      <x:c r="I12" s="12" t="str">
        <x:v>Invalid-price fixture; automatically skipped</x:v>
      </x:c>
    </x:row>
    <x:row r="13" ht="36" customHeight="1">
      <x:c r="A13" s="12" t="str">
        <x:v>WR-THHN-35</x:v>
      </x:c>
      <x:c r="B13" s="12" t="str">
        <x:v>Incompatible THHN wire 2.0 mm2</x:v>
      </x:c>
      <x:c r="C13" s="12" t="str">
        <x:v>2.0 mm2 THHN</x:v>
      </x:c>
      <x:c r="D13" s="12" t="str">
        <x:v>meter</x:v>
      </x:c>
      <x:c r="E13" s="14" t="n">
        <x:v>9</x:v>
      </x:c>
      <x:c r="F13" s="12" t="str">
        <x:v>PHP</x:v>
      </x:c>
      <x:c r="G13" s="12" t="n">
        <x:v>999</x:v>
      </x:c>
      <x:c r="H13" s="12" t="n">
        <x:v>1</x:v>
      </x:c>
      <x:c r="I13" s="12" t="str">
        <x:v>Reject: code is 3.5 mm2; exclude</x:v>
      </x:c>
    </x:row>
    <x:row r="14">
      <x:c r="A14" s="3" t="str">
        <x:v>DV-LAMP-1X40</x:v>
      </x:c>
      <x:c r="B14" s="3" t="str">
        <x:v>FableVolt 1 x 40 watts fluorescent lamp</x:v>
      </x:c>
      <x:c r="C14" s="3" t="str">
        <x:v>1 x 40 W fluorescent</x:v>
      </x:c>
      <x:c r="D14" s="3" t="str">
        <x:v>piece</x:v>
      </x:c>
      <x:c r="E14" s="18" t="n">
        <x:v>450</x:v>
      </x:c>
      <x:c r="F14" s="3" t="str">
        <x:v>PHP</x:v>
      </x:c>
      <x:c r="G14" s="3"/>
      <x:c r="H14" s="3" t="n">
        <x:v>1</x:v>
      </x:c>
      <x:c r="I14" s="3" t="str">
        <x:v>Synthetic lighting product</x:v>
      </x:c>
    </x:row>
    <x:row r="15">
      <x:c r="A15" s="3" t="str">
        <x:v>DV-LAMP-2X40</x:v>
      </x:c>
      <x:c r="B15" s="3" t="str">
        <x:v>FableVolt 2 x 40 watts fluorescent lamp</x:v>
      </x:c>
      <x:c r="C15" s="3" t="str">
        <x:v>2 x 40 W fluorescent</x:v>
      </x:c>
      <x:c r="D15" s="3" t="str">
        <x:v>piece</x:v>
      </x:c>
      <x:c r="E15" s="18" t="n">
        <x:v>750</x:v>
      </x:c>
      <x:c r="F15" s="3" t="str">
        <x:v>PHP</x:v>
      </x:c>
      <x:c r="G15" s="3"/>
      <x:c r="H15" s="3" t="n">
        <x:v>1</x:v>
      </x:c>
      <x:c r="I15" s="3" t="str">
        <x:v>Synthetic lighting product</x:v>
      </x:c>
    </x:row>
    <x:row r="16">
      <x:c r="A16" s="3" t="str">
        <x:v>DV-SWITCH-2</x:v>
      </x:c>
      <x:c r="B16" s="3" t="str">
        <x:v>FableVolt Two gang device switch</x:v>
      </x:c>
      <x:c r="C16" s="3" t="str">
        <x:v>2 gang</x:v>
      </x:c>
      <x:c r="D16" s="3" t="str">
        <x:v>piece</x:v>
      </x:c>
      <x:c r="E16" s="18" t="n">
        <x:v>95</x:v>
      </x:c>
      <x:c r="F16" s="3" t="str">
        <x:v>PHP</x:v>
      </x:c>
      <x:c r="G16" s="3"/>
      <x:c r="H16" s="3" t="n">
        <x:v>1</x:v>
      </x:c>
      <x:c r="I16" s="3" t="str">
        <x:v>Synthetic switch product</x:v>
      </x:c>
    </x:row>
    <x:row r="17">
      <x:c r="A17" s="3" t="str">
        <x:v>DV-SWITCH-3</x:v>
      </x:c>
      <x:c r="B17" s="3" t="str">
        <x:v>FableVolt Three gang device switch</x:v>
      </x:c>
      <x:c r="C17" s="3" t="str">
        <x:v>3 gang</x:v>
      </x:c>
      <x:c r="D17" s="3" t="str">
        <x:v>piece</x:v>
      </x:c>
      <x:c r="E17" s="18" t="n">
        <x:v>130</x:v>
      </x:c>
      <x:c r="F17" s="3" t="str">
        <x:v>PHP</x:v>
      </x:c>
      <x:c r="G17" s="3"/>
      <x:c r="H17" s="3" t="n">
        <x:v>1</x:v>
      </x:c>
      <x:c r="I17" s="3" t="str">
        <x:v>Synthetic switch product</x:v>
      </x:c>
    </x:row>
    <x:row r="18">
      <x:c r="A18" s="3" t="str">
        <x:v>DV-DOWNLIGHT-200</x:v>
      </x:c>
      <x:c r="B18" s="3" t="str">
        <x:v>FableVolt 200 mm LED recessed downlight</x:v>
      </x:c>
      <x:c r="C18" s="3" t="str">
        <x:v>200 mm LED</x:v>
      </x:c>
      <x:c r="D18" s="3" t="str">
        <x:v>piece</x:v>
      </x:c>
      <x:c r="E18" s="18" t="n">
        <x:v>350</x:v>
      </x:c>
      <x:c r="F18" s="3" t="str">
        <x:v>PHP</x:v>
      </x:c>
      <x:c r="G18" s="3"/>
      <x:c r="H18" s="3" t="n">
        <x:v>1</x:v>
      </x:c>
      <x:c r="I18" s="3" t="str">
        <x:v>Synthetic lighting product</x:v>
      </x:c>
    </x:row>
    <x:row r="19" ht="64" customHeight="1">
      <x:c r="A19" s="3" t="str">
        <x:v>DV-OUTLET-10</x:v>
      </x:c>
      <x:c r="B19" s="3" t="str">
        <x:v>FableVolt Duplex convenience outlet grounding type 10 amps 250 volt with modern plate cover</x:v>
      </x:c>
      <x:c r="C19" s="3" t="str">
        <x:v>10 A 250 V duplex</x:v>
      </x:c>
      <x:c r="D19" s="3" t="str">
        <x:v>piece</x:v>
      </x:c>
      <x:c r="E19" s="18" t="n">
        <x:v>90</x:v>
      </x:c>
      <x:c r="F19" s="3" t="str">
        <x:v>PHP</x:v>
      </x:c>
      <x:c r="G19" s="3"/>
      <x:c r="H19" s="3" t="n">
        <x:v>1</x:v>
      </x:c>
      <x:c r="I19" s="3" t="str">
        <x:v>Synthetic power product</x:v>
      </x:c>
    </x:row>
    <x:row r="20">
      <x:c r="A20" s="3" t="str">
        <x:v>DV-PANEL</x:v>
      </x:c>
      <x:c r="B20" s="3" t="str">
        <x:v>FableVolt Panelboard</x:v>
      </x:c>
      <x:c r="C20" s="3" t="str">
        <x:v>Panelboard</x:v>
      </x:c>
      <x:c r="D20" s="3" t="str">
        <x:v>piece</x:v>
      </x:c>
      <x:c r="E20" s="18" t="n">
        <x:v>1200</x:v>
      </x:c>
      <x:c r="F20" s="3" t="str">
        <x:v>PHP</x:v>
      </x:c>
      <x:c r="G20" s="3"/>
      <x:c r="H20" s="3" t="n">
        <x:v>1</x:v>
      </x:c>
      <x:c r="I20" s="3" t="str">
        <x:v>Synthetic panel product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60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36" customHeight="1">
      <x:c r="A1" s="6" t="str">
        <x:v>SYNTHETIC TESTING ONLY — independent expected calculations</x:v>
      </x:c>
      <x:c r="B1" s="6"/>
      <x:c r="C1" s="6"/>
      <x:c r="D1" s="6"/>
      <x:c r="E1" s="9"/>
      <x:c r="F1" s="9"/>
      <x:c r="G1" s="9"/>
      <x:c r="H1" s="9"/>
      <x:c r="I1" s="9"/>
    </x:row>
    <x:row r="2" ht="36" customHeight="1">
      <x:c r="A2" s="15" t="str">
        <x:v>Component</x:v>
      </x:c>
      <x:c r="B2" s="15" t="str">
        <x:v>Measured units</x:v>
      </x:c>
      <x:c r="C2" s="15" t="str">
        <x:v>PHP per measured unit</x:v>
      </x:c>
      <x:c r="D2" s="15" t="str">
        <x:v>Expected PHP</x:v>
      </x:c>
    </x:row>
    <x:row r="3" ht="36" customHeight="1">
      <x:c r="A3" s="3" t="str">
        <x:v>Two outlets</x:v>
      </x:c>
      <x:c r="B3" s="3" t="n">
        <x:v>2</x:v>
      </x:c>
      <x:c r="C3" s="18" t="n">
        <x:v>90</x:v>
      </x:c>
      <x:c r="D3" s="18" t="n">
        <x:f>B3*C3</x:f>
        <x:v>180</x:v>
      </x:c>
    </x:row>
    <x:row r="4" ht="36" customHeight="1">
      <x:c r="A4" s="3" t="str">
        <x:v>One switch</x:v>
      </x:c>
      <x:c r="B4" s="3" t="n">
        <x:v>1</x:v>
      </x:c>
      <x:c r="C4" s="18" t="n">
        <x:v>60</x:v>
      </x:c>
      <x:c r="D4" s="18" t="n">
        <x:f>B4*C4</x:f>
        <x:v>60</x:v>
      </x:c>
    </x:row>
    <x:row r="5" ht="36" customHeight="1">
      <x:c r="A5" s="3" t="str">
        <x:v>Path A · THHN 3.5 mm2</x:v>
      </x:c>
      <x:c r="B5" s="3" t="n">
        <x:v>14</x:v>
      </x:c>
      <x:c r="C5" s="18" t="n">
        <x:v>12</x:v>
      </x:c>
      <x:c r="D5" s="18" t="n">
        <x:f>B5*C5</x:f>
        <x:v>168</x:v>
      </x:c>
    </x:row>
    <x:row r="6" ht="36" customHeight="1">
      <x:c r="A6" s="3" t="str">
        <x:v>Path A · PVC 20 mm</x:v>
      </x:c>
      <x:c r="B6" s="3" t="n">
        <x:v>14</x:v>
      </x:c>
      <x:c r="C6" s="18" t="n">
        <x:v>25</x:v>
      </x:c>
      <x:c r="D6" s="18" t="n">
        <x:f>B6*C6</x:f>
        <x:v>350</x:v>
      </x:c>
    </x:row>
    <x:row r="7" ht="36" customHeight="1">
      <x:c r="A7" s="3" t="str">
        <x:v>Path B · 2C cable</x:v>
      </x:c>
      <x:c r="B7" s="3" t="n">
        <x:v>6</x:v>
      </x:c>
      <x:c r="C7" s="18" t="n">
        <x:f>'Client prices'!E7/'Client prices'!H7</x:f>
        <x:v>12</x:v>
      </x:c>
      <x:c r="D7" s="18" t="n">
        <x:f>B7*C7</x:f>
        <x:v>72</x:v>
      </x:c>
    </x:row>
    <x:row r="8" ht="36" customHeight="1">
      <x:c r="A8" s="3" t="str">
        <x:v>Path B · EMT 20 mm</x:v>
      </x:c>
      <x:c r="B8" s="3" t="n">
        <x:v>6</x:v>
      </x:c>
      <x:c r="C8" s="18" t="n">
        <x:f>'Client prices'!E9/'Client prices'!H9</x:f>
        <x:v>25</x:v>
      </x:c>
      <x:c r="D8" s="18" t="n">
        <x:f>B8*C8</x:f>
        <x:v>150</x:v>
      </x:c>
    </x:row>
    <x:row r="9" ht="36" customHeight="1">
      <x:c r="A9" s="17" t="str">
        <x:v>Expected combined total</x:v>
      </x:c>
      <x:c r="B9" s="17"/>
      <x:c r="C9" s="19"/>
      <x:c r="D9" s="19" t="n">
        <x:f>SUM(D3:D8)</x:f>
        <x:v>980</x:v>
      </x:c>
    </x:row>
    <x:row r="10" ht="36" customHeight="1">
      <x:c r="A10" s="3" t="str">
        <x:v>Path A = 10 horizontal + 2 + 2 vertical = 14 m</x:v>
      </x:c>
      <x:c r="B10" s="3"/>
      <x:c r="C10" s="3"/>
      <x:c r="D10" s="3"/>
    </x:row>
    <x:row r="11" ht="36" customHeight="1">
      <x:c r="A11" s="3" t="str">
        <x:v>Path B = 6 horizontal = 6 m</x:v>
      </x:c>
      <x:c r="B11" s="3"/>
      <x:c r="C11" s="3"/>
      <x:c r="D11" s="3"/>
    </x:row>
    <x:row r="12" ht="36" customHeight="1">
      <x:c r="A12" s="3" t="str">
        <x:v>Client quantity 999 must never replace these quantities.</x:v>
      </x:c>
      <x:c r="B12" s="3"/>
      <x:c r="C12" s="3"/>
      <x:c r="D12" s="3"/>
    </x:row>
    <x:row r="13" ht="36" customHeight="1">
      <x:c r="A13" s="3" t="str">
        <x:v>No inferred conductor count, waste or engineering approval.</x:v>
      </x:c>
      <x:c r="B13" s="3"/>
      <x:c r="C13" s="3"/>
      <x:c r="D13" s="3"/>
    </x:row>
    <x:row r="15" ht="36" customHeight="1">
      <x:c r="A15" s="20" t="str">
        <x:v>Lighting plan test</x:v>
      </x:c>
      <x:c r="B15" s="20"/>
      <x:c r="C15" s="20"/>
      <x:c r="D15" s="20"/>
    </x:row>
    <x:row r="16" ht="36" customHeight="1">
      <x:c r="A16" s="21" t="str">
        <x:v>Device</x:v>
      </x:c>
      <x:c r="B16" s="21" t="str">
        <x:v>Quantity</x:v>
      </x:c>
      <x:c r="C16" s="21" t="str">
        <x:v>PHP per piece</x:v>
      </x:c>
      <x:c r="D16" s="21" t="str">
        <x:v>Expected PHP</x:v>
      </x:c>
    </x:row>
    <x:row r="17" ht="36" customHeight="1">
      <x:c r="A17" s="20" t="str">
        <x:v>1 x 40 watts fluorescent lamp</x:v>
      </x:c>
      <x:c r="B17" s="20" t="n">
        <x:v>4</x:v>
      </x:c>
      <x:c r="C17" s="24" t="n">
        <x:f>'Client prices'!E14</x:f>
        <x:v>450</x:v>
      </x:c>
      <x:c r="D17" s="24" t="n">
        <x:f>B17*C17</x:f>
        <x:v>1800</x:v>
      </x:c>
    </x:row>
    <x:row r="18" ht="36" customHeight="1">
      <x:c r="A18" s="20" t="str">
        <x:v>2 x 40 watts fluorescent lamp</x:v>
      </x:c>
      <x:c r="B18" s="20" t="n">
        <x:v>16</x:v>
      </x:c>
      <x:c r="C18" s="24" t="n">
        <x:f>'Client prices'!E15</x:f>
        <x:v>750</x:v>
      </x:c>
      <x:c r="D18" s="24" t="n">
        <x:f>B18*C18</x:f>
        <x:v>12000</x:v>
      </x:c>
    </x:row>
    <x:row r="19" ht="36" customHeight="1">
      <x:c r="A19" s="20" t="str">
        <x:v>One gang device switch</x:v>
      </x:c>
      <x:c r="B19" s="20" t="n">
        <x:v>6</x:v>
      </x:c>
      <x:c r="C19" s="24" t="n">
        <x:f>'Client prices'!E5</x:f>
        <x:v>60</x:v>
      </x:c>
      <x:c r="D19" s="24" t="n">
        <x:f>B19*C19</x:f>
        <x:v>360</x:v>
      </x:c>
    </x:row>
    <x:row r="20" ht="36" customHeight="1">
      <x:c r="A20" s="20" t="str">
        <x:v>Two gang device switch</x:v>
      </x:c>
      <x:c r="B20" s="20" t="n">
        <x:v>3</x:v>
      </x:c>
      <x:c r="C20" s="24" t="n">
        <x:f>'Client prices'!E16</x:f>
        <x:v>95</x:v>
      </x:c>
      <x:c r="D20" s="24" t="n">
        <x:f>B20*C20</x:f>
        <x:v>285</x:v>
      </x:c>
    </x:row>
    <x:row r="21" ht="36" customHeight="1">
      <x:c r="A21" s="23" t="str">
        <x:v>Known device subtotal</x:v>
      </x:c>
      <x:c r="B21" s="23"/>
      <x:c r="C21" s="25"/>
      <x:c r="D21" s="25" t="n">
        <x:f>SUM(D17:D20)</x:f>
        <x:v>14445</x:v>
      </x:c>
    </x:row>
    <x:row r="22" ht="36" customHeight="1">
      <x:c r="A22" s="20" t="str">
        <x:v>Wire/conduit quantities are calculated by VED.</x:v>
      </x:c>
      <x:c r="B22" s="20"/>
      <x:c r="C22" s="20"/>
      <x:c r="D22" s="20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112" hidden="0" customWidth="1"/>
  </x:cols>
  <x:sheetData>
    <x:row r="1" ht="48" customHeight="1">
      <x:c r="A1" s="6" t="str">
        <x:v>SYNTHETIC TESTING ONLY</x:v>
      </x:c>
      <x:c r="B1" s="6" t="str">
        <x:v>No real client or approved engineering data</x:v>
      </x:c>
      <x:c r="C1" s="9"/>
      <x:c r="D1" s="9"/>
      <x:c r="E1" s="9"/>
      <x:c r="F1" s="9"/>
      <x:c r="G1" s="9"/>
      <x:c r="H1" s="9"/>
      <x:c r="I1" s="9"/>
    </x:row>
    <x:row r="2" ht="48" customHeight="1">
      <x:c r="A2" s="3" t="str">
        <x:v>Upload</x:v>
      </x:c>
      <x:c r="B2" s="3" t="str">
        <x:v>Choose this workbook using Upload BOM. Prices apply automatically to compatible existing items.</x:v>
      </x:c>
    </x:row>
    <x:row r="3" ht="48" customHeight="1">
      <x:c r="A3" s="3" t="str">
        <x:v>Scope</x:v>
      </x:c>
      <x:c r="B3" s="3" t="str">
        <x:v>Workspace upload affects the current floor. Cost estimation upload affects the project.</x:v>
      </x:c>
    </x:row>
    <x:row r="4" ht="48" customHeight="1">
      <x:c r="A4" s="3" t="str">
        <x:v>Edit</x:v>
      </x:c>
      <x:c r="B4" s="3" t="str">
        <x:v>Use Edit prices to override an individual device, wire/cable or conduit price.</x:v>
      </x:c>
    </x:row>
    <x:row r="5" ht="48" customHeight="1">
      <x:c r="A5" s="3" t="str">
        <x:v>Quantities</x:v>
      </x:c>
      <x:c r="B5" s="3" t="str">
        <x:v>Client quantities never replace the calculated takeoff.</x:v>
      </x:c>
    </x:row>
    <x:row r="6" ht="48" customHeight="1">
      <x:c r="A6" s="3" t="str">
        <x:v>Lighting test</x:v>
      </x:c>
      <x:c r="B6" s="3" t="str">
        <x:v>The shown 4 single lamps, 16 twin lamps, 6 one-gang and 3 two-gang switches total PHP 14,445.</x:v>
      </x:c>
    </x:row>
    <x:row r="7" ht="48" customHeight="1">
      <x:c r="A7" s="3" t="str">
        <x:v>Wire and conduit</x:v>
      </x:c>
      <x:c r="B7" s="3" t="str">
        <x:v>Each path has separate cable and conduit components. Conversions are explicit.</x:v>
      </x:c>
    </x:row>
    <x:row r="8" ht="48" customHeight="1">
      <x:c r="A8" s="3" t="str">
        <x:v>Invalid examples</x:v>
      </x:c>
      <x:c r="B8" s="3" t="str">
        <x:v>Original invalid-price and conflicting-code rows remain parser examples and are skipped.</x:v>
      </x:c>
    </x:row>
    <x:row r="9" ht="48" customHeight="1">
      <x:c r="A9" s="3" t="str">
        <x:v>Synthetic only</x:v>
      </x:c>
      <x:c r="B9" s="3" t="str">
        <x:v>Fictional prices and products, not a client quote or an approved specification.</x:v>
      </x:c>
    </x:row>
    <x:row r="10" ht="48" customHeight="1">
      <x:c r="A10" s="3" t="str">
        <x:v>Missing heights</x:v>
      </x:c>
      <x:c r="B10" s="3" t="str">
        <x:v>Known horizontal costs can be partial. Actual drops require stored service and mounting heights.</x:v>
      </x:c>
    </x:row>
  </x:sheetData>
  <x:pageMargins left="0.7" right="0.7" top="0.75" bottom="0.75" header="0.3" footer="0.3"/>
</x:worksheet>
</file>